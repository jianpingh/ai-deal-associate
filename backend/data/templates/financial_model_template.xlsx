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work\110agenticAI\code\ai-deal-associate\backend\data\templates\"/>
    </mc:Choice>
  </mc:AlternateContent>
  <xr:revisionPtr revIDLastSave="0" documentId="13_ncr:1_{CB61677F-D192-4CB6-9C5D-5C2C24B05104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Inputs" sheetId="1" r:id="rId1"/>
    <sheet name="Cash Flow" sheetId="2" r:id="rId2"/>
    <sheet name="Rent Roll" sheetId="3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/>
</workbook>
</file>

<file path=xl/calcChain.xml><?xml version="1.0" encoding="utf-8"?>
<calcChain xmlns="http://schemas.openxmlformats.org/spreadsheetml/2006/main">
  <c r="B9" i="2" l="1"/>
  <c r="B10" i="2" s="1"/>
  <c r="K2" i="2"/>
  <c r="J2" i="2"/>
  <c r="C2" i="2"/>
  <c r="B2" i="2"/>
  <c r="B13" i="1"/>
  <c r="I2" i="2" s="1"/>
  <c r="I3" i="2" l="1"/>
  <c r="I4" i="2" s="1"/>
  <c r="J4" i="2"/>
  <c r="D2" i="2"/>
  <c r="B3" i="2"/>
  <c r="B4" i="2" s="1"/>
  <c r="J3" i="2"/>
  <c r="E2" i="2"/>
  <c r="C3" i="2"/>
  <c r="C4" i="2" s="1"/>
  <c r="K3" i="2"/>
  <c r="K4" i="2" s="1"/>
  <c r="F2" i="2"/>
  <c r="B14" i="1"/>
  <c r="G2" i="2"/>
  <c r="H2" i="2"/>
  <c r="B20" i="2" l="1"/>
  <c r="G3" i="2"/>
  <c r="G4" i="2" s="1"/>
  <c r="B15" i="1"/>
  <c r="E4" i="2"/>
  <c r="E3" i="2"/>
  <c r="D3" i="2"/>
  <c r="D4" i="2" s="1"/>
  <c r="F3" i="2"/>
  <c r="F4" i="2" s="1"/>
  <c r="H3" i="2"/>
  <c r="H4" i="2"/>
  <c r="G5" i="2" l="1"/>
  <c r="G6" i="2" s="1"/>
  <c r="H15" i="2" s="1"/>
  <c r="E5" i="2"/>
  <c r="E6" i="2" s="1"/>
  <c r="F15" i="2" s="1"/>
  <c r="D5" i="2"/>
  <c r="D6" i="2" s="1"/>
  <c r="E15" i="2" s="1"/>
  <c r="K5" i="2"/>
  <c r="K6" i="2" s="1"/>
  <c r="L15" i="2" s="1"/>
  <c r="C5" i="2"/>
  <c r="C6" i="2" s="1"/>
  <c r="D15" i="2" s="1"/>
  <c r="I5" i="2"/>
  <c r="I6" i="2" s="1"/>
  <c r="J15" i="2" s="1"/>
  <c r="J5" i="2"/>
  <c r="J6" i="2" s="1"/>
  <c r="K15" i="2" s="1"/>
  <c r="B5" i="2"/>
  <c r="B6" i="2" s="1"/>
  <c r="C15" i="2" s="1"/>
  <c r="B11" i="2"/>
  <c r="B12" i="2" s="1"/>
  <c r="H5" i="2"/>
  <c r="F5" i="2"/>
  <c r="F6" i="2" s="1"/>
  <c r="G15" i="2" s="1"/>
  <c r="H6" i="2"/>
  <c r="I15" i="2" s="1"/>
  <c r="B16" i="1"/>
  <c r="B15" i="2" s="1"/>
  <c r="B19" i="2" l="1"/>
  <c r="B18" i="2"/>
</calcChain>
</file>

<file path=xl/sharedStrings.xml><?xml version="1.0" encoding="utf-8"?>
<sst xmlns="http://schemas.openxmlformats.org/spreadsheetml/2006/main" count="92" uniqueCount="74">
  <si>
    <t>Parameter</t>
  </si>
  <si>
    <t>Value</t>
  </si>
  <si>
    <t>Unit</t>
  </si>
  <si>
    <t>Named Range</t>
  </si>
  <si>
    <t>Market Rent</t>
  </si>
  <si>
    <t>EUR/sqm/yr</t>
  </si>
  <si>
    <t>Market_Rent</t>
  </si>
  <si>
    <t>Leasable Area</t>
  </si>
  <si>
    <t>sqm</t>
  </si>
  <si>
    <t>Area</t>
  </si>
  <si>
    <t>Rent Growth</t>
  </si>
  <si>
    <t>%</t>
  </si>
  <si>
    <t>Rent_Growth</t>
  </si>
  <si>
    <t>OpEx Ratio</t>
  </si>
  <si>
    <t>OpEx_Ratio</t>
  </si>
  <si>
    <t>Entry Yield</t>
  </si>
  <si>
    <t>Entry_Yield</t>
  </si>
  <si>
    <t>Exit Yield</t>
  </si>
  <si>
    <t>Exit_Yield</t>
  </si>
  <si>
    <t>LTV</t>
  </si>
  <si>
    <t>Interest Rate</t>
  </si>
  <si>
    <t>Interest_Rate</t>
  </si>
  <si>
    <t>Capex</t>
  </si>
  <si>
    <t>EUR</t>
  </si>
  <si>
    <t>Calculated Values</t>
  </si>
  <si>
    <t>Initial Gross Income</t>
  </si>
  <si>
    <t>Purchase Price</t>
  </si>
  <si>
    <t>Loan Amount</t>
  </si>
  <si>
    <t>Equity Invested</t>
  </si>
  <si>
    <t>Item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</si>
  <si>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</si>
  <si>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</si>
  <si>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</si>
  <si>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</si>
  <si>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</si>
  <si>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</si>
  <si>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</si>
  <si>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</si>
  <si>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</si>
  <si>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</si>
  <si>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Potential Gross Income</t>
  </si>
  <si>
    <t>Operating Expenses</t>
  </si>
  <si>
    <t>Net Operating Income (NOI)</t>
  </si>
  <si>
    <t>Debt Service</t>
  </si>
  <si>
    <t>Net Cash Flow</t>
  </si>
  <si>
    <t>Exit Valuation (Year 10)</t>
  </si>
  <si>
    <t>Exit NOI (Forward)</t>
  </si>
  <si>
    <t>Exit Value</t>
  </si>
  <si>
    <t>Loan Repayment</t>
  </si>
  <si>
    <t>Net Sale Proceeds</t>
  </si>
  <si>
    <t>Levered Cash Flow Stream</t>
  </si>
  <si>
    <t>Year 0</t>
  </si>
  <si>
    <t>Returns Metrics</t>
  </si>
  <si>
    <t>Levered IRR</t>
  </si>
  <si>
    <t>Equity Multiple</t>
  </si>
  <si>
    <t>Yield on Cost</t>
  </si>
  <si>
    <t>Tenant Name</t>
  </si>
  <si>
    <t>Area (sqm)</t>
  </si>
  <si>
    <t>Lease Start</t>
  </si>
  <si>
    <t>Lease End</t>
  </si>
  <si>
    <t>Annual Rent (EUR)</t>
  </si>
  <si>
    <t>Rent/sqm/yr</t>
  </si>
  <si>
    <t>Logistics Corp A</t>
  </si>
  <si>
    <t>Unit 1</t>
  </si>
  <si>
    <t>2023-01-01</t>
  </si>
  <si>
    <t>2028-12-31</t>
  </si>
  <si>
    <t>E-Commerce Ltd</t>
  </si>
  <si>
    <t>Unit 2</t>
  </si>
  <si>
    <t>2024-06-01</t>
  </si>
  <si>
    <t>2029-05-31</t>
  </si>
  <si>
    <t>Global Supply Chain</t>
  </si>
  <si>
    <t>Unit 3</t>
  </si>
  <si>
    <t>2022-01-01</t>
  </si>
  <si>
    <t>2027-12-31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</si>
</sst>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\x"/>
  </numFmts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10" fontId="0" fillId="0" borderId="1" xfId="0" applyNumberFormat="1" applyBorder="1"/>
    <xf numFmtId="0" fontId="2" fillId="0" borderId="0" xfId="0" applyFont="1"/>
    <xf numFmtId="3" fontId="0" fillId="0" borderId="0" xfId="0" applyNumberFormat="1"/>
    <xf numFmtId="3" fontId="2" fillId="0" borderId="2" xfId="0" applyNumberFormat="1" applyFont="1" applyBorder="1"/>
    <xf numFmtId="3" fontId="2" fillId="0" borderId="0" xfId="0" applyNumberFormat="1" applyFont="1"/>
    <xf numFmtId="10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workbookViewId="0">
      <selection activeCell="B22" sqref="B22"/>
    </sheetView>
  </sheetViews>
  <sheetFormatPr defaultRowHeight="14.4" x14ac:dyDescent="0.25"/>
  <cols>
    <col min="1" max="1" width="20" customWidth="1"/>
    <col min="2" max="3" width="15" customWidth="1"/>
    <col min="4" max="4" width="20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85</v>
      </c>
      <c r="C2" s="2" t="s">
        <v>5</v>
      </c>
      <c r="D2" s="2" t="s">
        <v>6</v>
      </c>
    </row>
    <row r="3" spans="1:4" x14ac:dyDescent="0.25">
      <c r="A3" s="2" t="s">
        <v>7</v>
      </c>
      <c r="B3" s="3">
        <v>10000</v>
      </c>
      <c r="C3" s="2" t="s">
        <v>8</v>
      </c>
      <c r="D3" s="2" t="s">
        <v>9</v>
      </c>
    </row>
    <row r="4" spans="1:4" x14ac:dyDescent="0.25">
      <c r="A4" s="2" t="s">
        <v>10</v>
      </c>
      <c r="B4" s="4">
        <v>0.03</v>
      </c>
      <c r="C4" s="2" t="s">
        <v>11</v>
      </c>
      <c r="D4" s="2" t="s">
        <v>12</v>
      </c>
    </row>
    <row r="5" spans="1:4" x14ac:dyDescent="0.25">
      <c r="A5" s="2" t="s">
        <v>13</v>
      </c>
      <c r="B5" s="4">
        <v>0.1</v>
      </c>
      <c r="C5" s="2" t="s">
        <v>11</v>
      </c>
      <c r="D5" s="2" t="s">
        <v>14</v>
      </c>
    </row>
    <row r="6" spans="1:4" x14ac:dyDescent="0.25">
      <c r="A6" s="2" t="s">
        <v>15</v>
      </c>
      <c r="B6" s="4">
        <v>4.4999999999999998E-2</v>
      </c>
      <c r="C6" s="2" t="s">
        <v>11</v>
      </c>
      <c r="D6" s="2" t="s">
        <v>16</v>
      </c>
    </row>
    <row r="7" spans="1:4" x14ac:dyDescent="0.25">
      <c r="A7" s="2" t="s">
        <v>17</v>
      </c>
      <c r="B7" s="4">
        <v>4.7500000000000001E-2</v>
      </c>
      <c r="C7" s="2" t="s">
        <v>11</v>
      </c>
      <c r="D7" s="2" t="s">
        <v>18</v>
      </c>
    </row>
    <row r="8" spans="1:4" x14ac:dyDescent="0.25">
      <c r="A8" s="2" t="s">
        <v>19</v>
      </c>
      <c r="B8" s="4">
        <v>0.6</v>
      </c>
      <c r="C8" s="2" t="s">
        <v>11</v>
      </c>
      <c r="D8" s="2" t="s">
        <v>19</v>
      </c>
    </row>
    <row r="9" spans="1:4" x14ac:dyDescent="0.25">
      <c r="A9" s="2" t="s">
        <v>20</v>
      </c>
      <c r="B9" s="4">
        <v>0.04</v>
      </c>
      <c r="C9" s="2" t="s">
        <v>11</v>
      </c>
      <c r="D9" s="2" t="s">
        <v>21</v>
      </c>
    </row>
    <row r="10" spans="1:4" x14ac:dyDescent="0.25">
      <c r="A10" s="2" t="s">
        <v>22</v>
      </c>
      <c r="B10" s="3">
        <v>0</v>
      </c>
      <c r="C10" s="2" t="s">
        <v>23</v>
      </c>
      <c r="D10" s="2" t="s">
        <v>22</v>
      </c>
    </row>
    <row r="12" spans="1:4" x14ac:dyDescent="0.25">
      <c r="A12" s="5" t="s">
        <v>24</v>
      </c>
    </row>
    <row r="13" spans="1:4" x14ac:dyDescent="0.25">
      <c r="A13" t="s">
        <v>25</v>
      </c>
      <c r="B13">
        <f>Market_Rent * Area</f>
        <v>850000</v>
      </c>
    </row>
    <row r="14" spans="1:4" x14ac:dyDescent="0.25">
      <c r="A14" t="s">
        <v>26</v>
      </c>
      <c r="B14">
        <f>Initial_Gross_Income / Entry_Yield</f>
        <v>18888888.888888888</v>
      </c>
    </row>
    <row r="15" spans="1:4" x14ac:dyDescent="0.25">
      <c r="A15" t="s">
        <v>27</v>
      </c>
      <c r="B15">
        <f>Purchase_Price * LTV</f>
        <v>11333333.333333332</v>
      </c>
    </row>
    <row r="16" spans="1:4" x14ac:dyDescent="0.25">
      <c r="A16" t="s">
        <v>28</v>
      </c>
      <c r="B16">
        <f>Purchase_Price - Loan_Amount + Capex</f>
        <v>7555555.555555556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workbookViewId="0">
      <selection activeCell="K15" sqref="K15"/>
    </sheetView>
  </sheetViews>
  <sheetFormatPr defaultRowHeight="14.4" x14ac:dyDescent="0.25"/>
  <cols>
    <col min="1" max="1" width="25" customWidth="1"/>
    <col min="2" max="2" width="15" customWidth="1"/>
    <col min="3" max="3" width="13.44140625" customWidth="1"/>
    <col min="4" max="4" width="12.5546875" customWidth="1"/>
    <col min="5" max="5" width="12.88671875" customWidth="1"/>
    <col min="6" max="6" width="13.5546875" customWidth="1"/>
    <col min="7" max="7" width="12.33203125" customWidth="1"/>
    <col min="8" max="8" width="12.6640625" customWidth="1"/>
    <col min="9" max="10" width="12.88671875" customWidth="1"/>
    <col min="11" max="11" width="15.88671875" customWidth="1"/>
    <col min="12" max="12" width="21.6640625" customWidth="1"/>
  </cols>
  <sheetData>
    <row r="1" spans="1:12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</row>
    <row r="2" spans="1:12" x14ac:dyDescent="0.25">
      <c r="A2" t="s">
        <v>40</v>
      </c>
      <c r="B2" s="6">
        <f>Initial_Gross_Income * (1 + Rent_Growth)^0</f>
        <v>850000</v>
      </c>
      <c r="C2" s="6">
        <f>Initial_Gross_Income * (1 + Rent_Growth)^1</f>
        <v>875500</v>
      </c>
      <c r="D2" s="6">
        <f>Initial_Gross_Income * (1 + Rent_Growth)^2</f>
        <v>901765</v>
      </c>
      <c r="E2" s="6">
        <f>Initial_Gross_Income * (1 + Rent_Growth)^3</f>
        <v>928817.95</v>
      </c>
      <c r="F2" s="6">
        <f>Initial_Gross_Income * (1 + Rent_Growth)^4</f>
        <v>956682.48849999998</v>
      </c>
      <c r="G2" s="6">
        <f>Initial_Gross_Income * (1 + Rent_Growth)^5</f>
        <v>985382.96315499989</v>
      </c>
      <c r="H2" s="6">
        <f>Initial_Gross_Income * (1 + Rent_Growth)^6</f>
        <v>1014944.4520496499</v>
      </c>
      <c r="I2" s="6">
        <f>Initial_Gross_Income * (1 + Rent_Growth)^7</f>
        <v>1045392.7856111395</v>
      </c>
      <c r="J2" s="6">
        <f>Initial_Gross_Income * (1 + Rent_Growth)^8</f>
        <v>1076754.5691794734</v>
      </c>
      <c r="K2" s="6">
        <f>Initial_Gross_Income * (1 + Rent_Growth)^9</f>
        <v>1109057.2062548578</v>
      </c>
    </row>
    <row r="3" spans="1:12" x14ac:dyDescent="0.25">
      <c r="A3" t="s">
        <v>41</v>
      </c>
      <c r="B3" s="6">
        <f t="shared" ref="B3:K3" si="0">-B2 * OpEx_Ratio</f>
        <v>-85000</v>
      </c>
      <c r="C3" s="6">
        <f t="shared" si="0"/>
        <v>-87550</v>
      </c>
      <c r="D3" s="6">
        <f t="shared" si="0"/>
        <v>-90176.5</v>
      </c>
      <c r="E3" s="6">
        <f t="shared" si="0"/>
        <v>-92881.794999999998</v>
      </c>
      <c r="F3" s="6">
        <f t="shared" si="0"/>
        <v>-95668.248850000004</v>
      </c>
      <c r="G3" s="6">
        <f t="shared" si="0"/>
        <v>-98538.296315499989</v>
      </c>
      <c r="H3" s="6">
        <f t="shared" si="0"/>
        <v>-101494.445204965</v>
      </c>
      <c r="I3" s="6">
        <f t="shared" si="0"/>
        <v>-104539.27856111396</v>
      </c>
      <c r="J3" s="6">
        <f t="shared" si="0"/>
        <v>-107675.45691794735</v>
      </c>
      <c r="K3" s="6">
        <f t="shared" si="0"/>
        <v>-110905.72062548579</v>
      </c>
    </row>
    <row r="4" spans="1:12" x14ac:dyDescent="0.25">
      <c r="A4" s="5" t="s">
        <v>42</v>
      </c>
      <c r="B4" s="7">
        <f t="shared" ref="B4:K4" si="1">SUM(B2:B3)</f>
        <v>765000</v>
      </c>
      <c r="C4" s="7">
        <f t="shared" si="1"/>
        <v>787950</v>
      </c>
      <c r="D4" s="7">
        <f t="shared" si="1"/>
        <v>811588.5</v>
      </c>
      <c r="E4" s="7">
        <f t="shared" si="1"/>
        <v>835936.15499999991</v>
      </c>
      <c r="F4" s="7">
        <f t="shared" si="1"/>
        <v>861014.23965</v>
      </c>
      <c r="G4" s="7">
        <f t="shared" si="1"/>
        <v>886844.66683949996</v>
      </c>
      <c r="H4" s="7">
        <f t="shared" si="1"/>
        <v>913450.00684468495</v>
      </c>
      <c r="I4" s="7">
        <f t="shared" si="1"/>
        <v>940853.50705002551</v>
      </c>
      <c r="J4" s="7">
        <f t="shared" si="1"/>
        <v>969079.11226152605</v>
      </c>
      <c r="K4" s="7">
        <f t="shared" si="1"/>
        <v>998151.48562937207</v>
      </c>
    </row>
    <row r="5" spans="1:12" x14ac:dyDescent="0.25">
      <c r="A5" t="s">
        <v>43</v>
      </c>
      <c r="B5" s="6">
        <f t="shared" ref="B5:K5" si="2">-Loan_Amount * Interest_Rate</f>
        <v>-453333.33333333331</v>
      </c>
      <c r="C5" s="6">
        <f t="shared" si="2"/>
        <v>-453333.33333333331</v>
      </c>
      <c r="D5" s="6">
        <f t="shared" si="2"/>
        <v>-453333.33333333331</v>
      </c>
      <c r="E5" s="6">
        <f t="shared" si="2"/>
        <v>-453333.33333333331</v>
      </c>
      <c r="F5" s="6">
        <f t="shared" si="2"/>
        <v>-453333.33333333331</v>
      </c>
      <c r="G5" s="6">
        <f t="shared" si="2"/>
        <v>-453333.33333333331</v>
      </c>
      <c r="H5" s="6">
        <f t="shared" si="2"/>
        <v>-453333.33333333331</v>
      </c>
      <c r="I5" s="6">
        <f t="shared" si="2"/>
        <v>-453333.33333333331</v>
      </c>
      <c r="J5" s="6">
        <f t="shared" si="2"/>
        <v>-453333.33333333331</v>
      </c>
      <c r="K5" s="6">
        <f t="shared" si="2"/>
        <v>-453333.33333333331</v>
      </c>
    </row>
    <row r="6" spans="1:12" x14ac:dyDescent="0.25">
      <c r="A6" s="5" t="s">
        <v>44</v>
      </c>
      <c r="B6" s="8">
        <f t="shared" ref="B6:K6" si="3">B4 + B5</f>
        <v>311666.66666666669</v>
      </c>
      <c r="C6" s="8">
        <f t="shared" si="3"/>
        <v>334616.66666666669</v>
      </c>
      <c r="D6" s="8">
        <f t="shared" si="3"/>
        <v>358255.16666666669</v>
      </c>
      <c r="E6" s="8">
        <f t="shared" si="3"/>
        <v>382602.8216666666</v>
      </c>
      <c r="F6" s="8">
        <f t="shared" si="3"/>
        <v>407680.90631666669</v>
      </c>
      <c r="G6" s="8">
        <f t="shared" si="3"/>
        <v>433511.33350616664</v>
      </c>
      <c r="H6" s="8">
        <f t="shared" si="3"/>
        <v>460116.67351135163</v>
      </c>
      <c r="I6" s="8">
        <f t="shared" si="3"/>
        <v>487520.1737166922</v>
      </c>
      <c r="J6" s="8">
        <f t="shared" si="3"/>
        <v>515745.77892819274</v>
      </c>
      <c r="K6" s="8">
        <f t="shared" si="3"/>
        <v>544818.15229603881</v>
      </c>
    </row>
    <row r="8" spans="1:12" x14ac:dyDescent="0.25">
      <c r="A8" s="5" t="s">
        <v>45</v>
      </c>
    </row>
    <row r="9" spans="1:12" x14ac:dyDescent="0.25">
      <c r="A9" t="s">
        <v>46</v>
      </c>
      <c r="B9" s="6">
        <f>L4 * (1+Rent_Growth)</f>
        <v>0</v>
      </c>
    </row>
    <row r="10" spans="1:12" x14ac:dyDescent="0.25">
      <c r="A10" t="s">
        <v>47</v>
      </c>
      <c r="B10" s="6">
        <f>B9 / Exit_Yield</f>
        <v>0</v>
      </c>
    </row>
    <row r="11" spans="1:12" x14ac:dyDescent="0.25">
      <c r="A11" t="s">
        <v>48</v>
      </c>
      <c r="B11" s="6">
        <f>-Loan_Amount</f>
        <v>-11333333.333333332</v>
      </c>
    </row>
    <row r="12" spans="1:12" x14ac:dyDescent="0.25">
      <c r="A12" t="s">
        <v>49</v>
      </c>
      <c r="B12" s="8">
        <f>SUM(B10:B11)</f>
        <v>-11333333.333333332</v>
      </c>
    </row>
    <row r="14" spans="1:12" x14ac:dyDescent="0.25">
      <c r="A14" s="5" t="s">
        <v>50</v>
      </c>
      <c r="B14" t="s">
        <v>51</v>
      </c>
      <c r="C14" t="s">
        <v>30</v>
      </c>
      <c r="D14" t="s">
        <v>31</v>
      </c>
      <c r="E14" t="s">
        <v>32</v>
      </c>
      <c r="F14" t="s">
        <v>33</v>
      </c>
      <c r="G14" t="s">
        <v>34</v>
      </c>
      <c r="H14" t="s">
        <v>35</v>
      </c>
      <c r="I14" t="s">
        <v>36</v>
      </c>
      <c r="J14" t="s">
        <v>37</v>
      </c>
      <c r="K14" t="s">
        <v>38</v>
      </c>
      <c r="L14" t="s">
        <v>39</v>
      </c>
    </row>
    <row r="15" spans="1:12" x14ac:dyDescent="0.25">
      <c r="B15" s="6">
        <f>-Equity_Invested</f>
        <v>-7555555.555555556</v>
      </c>
      <c r="C15" s="6">
        <f t="shared" ref="C15:K15" si="4">B6</f>
        <v>311666.66666666669</v>
      </c>
      <c r="D15" s="6">
        <f t="shared" si="4"/>
        <v>334616.66666666669</v>
      </c>
      <c r="E15" s="6">
        <f t="shared" si="4"/>
        <v>358255.16666666669</v>
      </c>
      <c r="F15" s="6">
        <f t="shared" si="4"/>
        <v>382602.8216666666</v>
      </c>
      <c r="G15" s="6">
        <f t="shared" si="4"/>
        <v>407680.90631666669</v>
      </c>
      <c r="H15" s="6">
        <f t="shared" si="4"/>
        <v>433511.33350616664</v>
      </c>
      <c r="I15" s="6">
        <f t="shared" si="4"/>
        <v>460116.67351135163</v>
      </c>
      <c r="J15" s="6">
        <f t="shared" si="4"/>
        <v>487520.1737166922</v>
      </c>
      <c r="K15" s="6">
        <f t="shared" si="4"/>
        <v>515745.77892819274</v>
      </c>
      <c r="L15" s="6">
        <f>K6 + B12</f>
        <v>-10788515.181037294</v>
      </c>
    </row>
    <row r="17" spans="1:2" x14ac:dyDescent="0.25">
      <c r="A17" s="5" t="s">
        <v>52</v>
      </c>
    </row>
    <row r="18" spans="1:2" x14ac:dyDescent="0.25">
      <c r="A18" t="s">
        <v>53</v>
      </c>
      <c r="B18" s="9">
        <f>IRR(B15:K15)</f>
        <v>-0.11606811730958566</v>
      </c>
    </row>
    <row r="19" spans="1:2" x14ac:dyDescent="0.25">
      <c r="A19" t="s">
        <v>54</v>
      </c>
      <c r="B19" s="10">
        <f>(SUM(C15:L15) + ABS(B15)) / ABS(B15)</f>
        <v>6.0717780286411546E-2</v>
      </c>
    </row>
    <row r="20" spans="1:2" x14ac:dyDescent="0.25">
      <c r="A20" t="s">
        <v>55</v>
      </c>
      <c r="B20" s="9">
        <f>C4 / (Purchase_Price + Capex)</f>
        <v>4.1715000000000002E-2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A34" sqref="A34"/>
    </sheetView>
  </sheetViews>
  <sheetFormatPr defaultRowHeight="14.4" x14ac:dyDescent="0.25"/>
  <cols>
    <col min="1" max="1" width="30" customWidth="1"/>
    <col min="2" max="5" width="15" customWidth="1"/>
    <col min="6" max="6" width="20" customWidth="1"/>
    <col min="7" max="7" width="15" customWidth="1"/>
  </cols>
  <sheetData>
    <row r="1" spans="1:7" x14ac:dyDescent="0.25">
      <c r="A1" s="1" t="s">
        <v>56</v>
      </c>
      <c r="B1" s="1" t="s">
        <v>2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63</v>
      </c>
      <c r="C2">
        <v>5000</v>
      </c>
      <c r="D2" t="s">
        <v>64</v>
      </c>
      <c r="E2" t="s">
        <v>65</v>
      </c>
      <c r="F2">
        <v>425000</v>
      </c>
      <c r="G2">
        <v>85</v>
      </c>
    </row>
    <row r="3" spans="1:7" x14ac:dyDescent="0.25">
      <c r="A3" t="s">
        <v>66</v>
      </c>
      <c r="B3" t="s">
        <v>67</v>
      </c>
      <c r="C3">
        <v>3000</v>
      </c>
      <c r="D3" t="s">
        <v>68</v>
      </c>
      <c r="E3" t="s">
        <v>69</v>
      </c>
      <c r="F3">
        <v>270000</v>
      </c>
      <c r="G3">
        <v>90</v>
      </c>
    </row>
    <row r="4" spans="1:7" x14ac:dyDescent="0.25">
      <c r="A4" t="s">
        <v>70</v>
      </c>
      <c r="B4" t="s">
        <v>71</v>
      </c>
      <c r="C4">
        <v>2000</v>
      </c>
      <c r="D4" t="s">
        <v>72</v>
      </c>
      <c r="E4" t="s">
        <v>73</v>
      </c>
      <c r="F4">
        <v>160000</v>
      </c>
      <c r="G4">
        <v>80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13</vt:i4>
      </vt:variant>
    </vt:vector>
  </HeadingPairs>
  <TitlesOfParts>
    <vt:vector size="16" baseType="lpstr">
      <vt:lpstr>Inputs</vt:lpstr>
      <vt:lpstr>Cash Flow</vt:lpstr>
      <vt:lpstr>Rent Roll</vt:lpstr>
      <vt:lpstr>Area</vt:lpstr>
      <vt:lpstr>Capex</vt:lpstr>
      <vt:lpstr>Entry_Yield</vt:lpstr>
      <vt:lpstr>Equity_Invested</vt:lpstr>
      <vt:lpstr>Exit_Yield</vt:lpstr>
      <vt:lpstr>Initial_Gross_Income</vt:lpstr>
      <vt:lpstr>Interest_Rate</vt:lpstr>
      <vt:lpstr>Loan_Amount</vt:lpstr>
      <vt:lpstr>LTV</vt:lpstr>
      <vt:lpstr>Market_Rent</vt:lpstr>
      <vt:lpstr>OpEx_Ratio</vt:lpstr>
      <vt:lpstr>Purchase_Price</vt:lpstr>
      <vt:lpstr>Rent_Growth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Jianping Huang</cp:lastModifiedBy>
  <dcterms:created xsi:type="dcterms:W3CDTF">2025-12-14T12:13:26Z</dcterms:created>
  <dcterms:modified xsi:type="dcterms:W3CDTF">2025-12-14T12:34:02Z</dcterms:modified>
</cp:coreProperties>
</file>