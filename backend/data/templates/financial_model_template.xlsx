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Rent Roll" sheetId="3" state="visible" r:id="rId3"/>
  </sheets>
  <definedNames>
    <definedName name="Area">Inputs!$B$3</definedName>
    <definedName name="Capex">Inputs!$B$10</definedName>
    <definedName name="Entry_Yield">Inputs!$B$6</definedName>
    <definedName name="Equity_Invested">Inputs!$B$16</definedName>
    <definedName name="Exit_Yield">Inputs!$B$7</definedName>
    <definedName name="Initial_Gross_Income">Inputs!$B$13</definedName>
    <definedName name="Interest_Rate">Inputs!$B$9</definedName>
    <definedName name="Loan_Amount">Inputs!$B$15</definedName>
    <definedName name="LTV">Inputs!$B$8</definedName>
    <definedName name="Market_Rent">Inputs!$B$2</definedName>
    <definedName name="OpEx_Ratio">Inputs!$B$5</definedName>
    <definedName name="Purchase_Price">Inputs!$B$14</definedName>
    <definedName name="Rent_Growth">Inputs!$B$4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\x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2" fillId="0" borderId="0" pivotButton="0" quotePrefix="0" xfId="0"/>
    <xf numFmtId="3" fontId="0" fillId="0" borderId="0" pivotButton="0" quotePrefix="0" xfId="0"/>
    <xf numFmtId="3" fontId="2" fillId="0" borderId="2" pivotButton="0" quotePrefix="0" xfId="0"/>
    <xf numFmtId="3" fontId="2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C15" sqref="C15"/>
    </sheetView>
  </sheetViews>
  <sheetFormatPr baseColWidth="8" defaultRowHeight="14.4"/>
  <cols>
    <col width="20" customWidth="1" min="1" max="1"/>
    <col width="15" customWidth="1" min="2" max="3"/>
    <col width="2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Named Range</t>
        </is>
      </c>
    </row>
    <row r="2">
      <c r="A2" s="2" t="inlineStr">
        <is>
          <t>Market Rent</t>
        </is>
      </c>
      <c r="B2" s="3" t="n">
        <v>85.44</v>
      </c>
      <c r="C2" s="2" t="inlineStr">
        <is>
          <t>EUR/sqm/yr</t>
        </is>
      </c>
      <c r="D2" s="2" t="inlineStr">
        <is>
          <t>Market_Rent</t>
        </is>
      </c>
    </row>
    <row r="3">
      <c r="A3" s="2" t="inlineStr">
        <is>
          <t>Leasable Area</t>
        </is>
      </c>
      <c r="B3" s="3" t="n">
        <v>222221</v>
      </c>
      <c r="C3" s="2" t="inlineStr">
        <is>
          <t>sqm</t>
        </is>
      </c>
      <c r="D3" s="2" t="inlineStr">
        <is>
          <t>Area</t>
        </is>
      </c>
    </row>
    <row r="4">
      <c r="A4" s="2" t="inlineStr">
        <is>
          <t>Rent Growth</t>
        </is>
      </c>
      <c r="B4" s="4" t="n">
        <v>0.03</v>
      </c>
      <c r="C4" s="2" t="inlineStr">
        <is>
          <t>%</t>
        </is>
      </c>
      <c r="D4" s="2" t="inlineStr">
        <is>
          <t>Rent_Growth</t>
        </is>
      </c>
    </row>
    <row r="5">
      <c r="A5" s="2" t="inlineStr">
        <is>
          <t>OpEx Ratio</t>
        </is>
      </c>
      <c r="B5" s="4" t="n">
        <v>0.1</v>
      </c>
      <c r="C5" s="2" t="inlineStr">
        <is>
          <t>%</t>
        </is>
      </c>
      <c r="D5" s="2" t="inlineStr">
        <is>
          <t>OpEx_Ratio</t>
        </is>
      </c>
    </row>
    <row r="6">
      <c r="A6" s="2" t="inlineStr">
        <is>
          <t>Entry Yield</t>
        </is>
      </c>
      <c r="B6" s="4" t="n">
        <v>0.045</v>
      </c>
      <c r="C6" s="2" t="inlineStr">
        <is>
          <t>%</t>
        </is>
      </c>
      <c r="D6" s="2" t="inlineStr">
        <is>
          <t>Entry_Yield</t>
        </is>
      </c>
    </row>
    <row r="7">
      <c r="A7" s="2" t="inlineStr">
        <is>
          <t>Exit Yield</t>
        </is>
      </c>
      <c r="B7" s="4" t="n">
        <v>0.0475</v>
      </c>
      <c r="C7" s="2" t="inlineStr">
        <is>
          <t>%</t>
        </is>
      </c>
      <c r="D7" s="2" t="inlineStr">
        <is>
          <t>Exit_Yield</t>
        </is>
      </c>
    </row>
    <row r="8">
      <c r="A8" s="2" t="inlineStr">
        <is>
          <t>LTV</t>
        </is>
      </c>
      <c r="B8" s="4" t="n">
        <v>0.6</v>
      </c>
      <c r="C8" s="2" t="inlineStr">
        <is>
          <t>%</t>
        </is>
      </c>
      <c r="D8" s="2" t="inlineStr">
        <is>
          <t>LTV</t>
        </is>
      </c>
    </row>
    <row r="9">
      <c r="A9" s="2" t="inlineStr">
        <is>
          <t>Interest Rate</t>
        </is>
      </c>
      <c r="B9" s="4" t="n">
        <v>0.04</v>
      </c>
      <c r="C9" s="2" t="inlineStr">
        <is>
          <t>%</t>
        </is>
      </c>
      <c r="D9" s="2" t="inlineStr">
        <is>
          <t>Interest_Rate</t>
        </is>
      </c>
    </row>
    <row r="10">
      <c r="A10" s="2" t="inlineStr">
        <is>
          <t>Capex</t>
        </is>
      </c>
      <c r="B10" s="3" t="n">
        <v>0</v>
      </c>
      <c r="C10" s="2" t="inlineStr">
        <is>
          <t>EUR</t>
        </is>
      </c>
      <c r="D10" s="2" t="inlineStr">
        <is>
          <t>Capex</t>
        </is>
      </c>
    </row>
    <row r="12">
      <c r="A12" s="5" t="inlineStr">
        <is>
          <t>Calculated Values</t>
        </is>
      </c>
    </row>
    <row r="13">
      <c r="A13" t="inlineStr">
        <is>
          <t>Initial Gross Income</t>
        </is>
      </c>
      <c r="B13">
        <f>Market_Rent * Area</f>
        <v/>
      </c>
    </row>
    <row r="14">
      <c r="A14" t="inlineStr">
        <is>
          <t>Purchase Price</t>
        </is>
      </c>
      <c r="B14">
        <f>Initial_Gross_Income / Entry_Yield</f>
        <v/>
      </c>
    </row>
    <row r="15">
      <c r="A15" t="inlineStr">
        <is>
          <t>Loan Amount</t>
        </is>
      </c>
      <c r="B15">
        <f>Purchase_Price * LTV</f>
        <v/>
      </c>
    </row>
    <row r="16">
      <c r="A16" t="inlineStr">
        <is>
          <t>Equity Invested</t>
        </is>
      </c>
      <c r="B16">
        <f>Purchase_Price - Loan_Amount + Capex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1" workbookViewId="0">
      <selection activeCell="B22" sqref="B22"/>
    </sheetView>
  </sheetViews>
  <sheetFormatPr baseColWidth="8" defaultRowHeight="14.4"/>
  <cols>
    <col width="25" customWidth="1" min="1" max="1"/>
    <col width="15" customWidth="1" min="2" max="2"/>
    <col width="13.44140625" customWidth="1" min="3" max="3"/>
    <col width="12.5546875" customWidth="1" min="4" max="4"/>
    <col width="12.88671875" customWidth="1" min="5" max="5"/>
    <col width="13.5546875" customWidth="1" min="6" max="6"/>
    <col width="12.33203125" customWidth="1" min="7" max="7"/>
    <col width="12.6640625" customWidth="1" min="8" max="8"/>
    <col width="12.88671875" customWidth="1" min="9" max="10"/>
    <col width="15.88671875" customWidth="1" min="11" max="11"/>
    <col width="21.6640625" customWidth="1" min="12" max="12"/>
  </cols>
  <sheetData>
    <row r="1">
      <c r="A1" s="1" t="inlineStr">
        <is>
          <t>Item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  <c r="G1" s="1" t="inlineStr">
        <is>
          <t>Year 6</t>
        </is>
      </c>
      <c r="H1" s="1" t="inlineStr">
        <is>
          <t>Year 7</t>
        </is>
      </c>
      <c r="I1" s="1" t="inlineStr">
        <is>
          <t>Year 8</t>
        </is>
      </c>
      <c r="J1" s="1" t="inlineStr">
        <is>
          <t>Year 9</t>
        </is>
      </c>
      <c r="K1" s="1" t="inlineStr">
        <is>
          <t>Year 10</t>
        </is>
      </c>
    </row>
    <row r="2">
      <c r="A2" t="inlineStr">
        <is>
          <t>Potential Gross Income</t>
        </is>
      </c>
      <c r="B2" s="6">
        <f>Initial_Gross_Income * (1 + Rent_Growth)^0</f>
        <v/>
      </c>
      <c r="C2" s="6">
        <f>Initial_Gross_Income * (1 + Rent_Growth)^1</f>
        <v/>
      </c>
      <c r="D2" s="6">
        <f>Initial_Gross_Income * (1 + Rent_Growth)^2</f>
        <v/>
      </c>
      <c r="E2" s="6">
        <f>Initial_Gross_Income * (1 + Rent_Growth)^3</f>
        <v/>
      </c>
      <c r="F2" s="6">
        <f>Initial_Gross_Income * (1 + Rent_Growth)^4</f>
        <v/>
      </c>
      <c r="G2" s="6">
        <f>Initial_Gross_Income * (1 + Rent_Growth)^5</f>
        <v/>
      </c>
      <c r="H2" s="6">
        <f>Initial_Gross_Income * (1 + Rent_Growth)^6</f>
        <v/>
      </c>
      <c r="I2" s="6">
        <f>Initial_Gross_Income * (1 + Rent_Growth)^7</f>
        <v/>
      </c>
      <c r="J2" s="6">
        <f>Initial_Gross_Income * (1 + Rent_Growth)^8</f>
        <v/>
      </c>
      <c r="K2" s="6">
        <f>Initial_Gross_Income * (1 + Rent_Growth)^9</f>
        <v/>
      </c>
    </row>
    <row r="3">
      <c r="A3" t="inlineStr">
        <is>
          <t>Operating Expenses</t>
        </is>
      </c>
      <c r="B3" s="6">
        <f>-B2 * OpEx_Ratio</f>
        <v/>
      </c>
      <c r="C3" s="6">
        <f>-C2 * OpEx_Ratio</f>
        <v/>
      </c>
      <c r="D3" s="6">
        <f>-D2 * OpEx_Ratio</f>
        <v/>
      </c>
      <c r="E3" s="6">
        <f>-E2 * OpEx_Ratio</f>
        <v/>
      </c>
      <c r="F3" s="6">
        <f>-F2 * OpEx_Ratio</f>
        <v/>
      </c>
      <c r="G3" s="6">
        <f>-G2 * OpEx_Ratio</f>
        <v/>
      </c>
      <c r="H3" s="6">
        <f>-H2 * OpEx_Ratio</f>
        <v/>
      </c>
      <c r="I3" s="6">
        <f>-I2 * OpEx_Ratio</f>
        <v/>
      </c>
      <c r="J3" s="6">
        <f>-J2 * OpEx_Ratio</f>
        <v/>
      </c>
      <c r="K3" s="6">
        <f>-K2 * OpEx_Ratio</f>
        <v/>
      </c>
    </row>
    <row r="4">
      <c r="A4" s="5" t="inlineStr">
        <is>
          <t>Net Operating Income (NOI)</t>
        </is>
      </c>
      <c r="B4" s="7">
        <f>SUM(B2:B3)</f>
        <v/>
      </c>
      <c r="C4" s="7">
        <f>SUM(C2:C3)</f>
        <v/>
      </c>
      <c r="D4" s="7">
        <f>SUM(D2:D3)</f>
        <v/>
      </c>
      <c r="E4" s="7">
        <f>SUM(E2:E3)</f>
        <v/>
      </c>
      <c r="F4" s="7">
        <f>SUM(F2:F3)</f>
        <v/>
      </c>
      <c r="G4" s="7">
        <f>SUM(G2:G3)</f>
        <v/>
      </c>
      <c r="H4" s="7">
        <f>SUM(H2:H3)</f>
        <v/>
      </c>
      <c r="I4" s="7">
        <f>SUM(I2:I3)</f>
        <v/>
      </c>
      <c r="J4" s="7">
        <f>SUM(J2:J3)</f>
        <v/>
      </c>
      <c r="K4" s="7">
        <f>SUM(K2:K3)</f>
        <v/>
      </c>
    </row>
    <row r="5">
      <c r="A5" t="inlineStr">
        <is>
          <t>Debt Service</t>
        </is>
      </c>
      <c r="B5" s="6">
        <f>-Loan_Amount * Interest_Rate</f>
        <v/>
      </c>
      <c r="C5" s="6">
        <f>-Loan_Amount * Interest_Rate</f>
        <v/>
      </c>
      <c r="D5" s="6">
        <f>-Loan_Amount * Interest_Rate</f>
        <v/>
      </c>
      <c r="E5" s="6">
        <f>-Loan_Amount * Interest_Rate</f>
        <v/>
      </c>
      <c r="F5" s="6">
        <f>-Loan_Amount * Interest_Rate</f>
        <v/>
      </c>
      <c r="G5" s="6">
        <f>-Loan_Amount * Interest_Rate</f>
        <v/>
      </c>
      <c r="H5" s="6">
        <f>-Loan_Amount * Interest_Rate</f>
        <v/>
      </c>
      <c r="I5" s="6">
        <f>-Loan_Amount * Interest_Rate</f>
        <v/>
      </c>
      <c r="J5" s="6">
        <f>-Loan_Amount * Interest_Rate</f>
        <v/>
      </c>
      <c r="K5" s="6">
        <f>-Loan_Amount * Interest_Rate</f>
        <v/>
      </c>
    </row>
    <row r="6">
      <c r="A6" s="5" t="inlineStr">
        <is>
          <t>Net Cash Flow</t>
        </is>
      </c>
      <c r="B6" s="8">
        <f>B4 + B5</f>
        <v/>
      </c>
      <c r="C6" s="8">
        <f>C4 + C5</f>
        <v/>
      </c>
      <c r="D6" s="8">
        <f>D4 + D5</f>
        <v/>
      </c>
      <c r="E6" s="8">
        <f>E4 + E5</f>
        <v/>
      </c>
      <c r="F6" s="8">
        <f>F4 + F5</f>
        <v/>
      </c>
      <c r="G6" s="8">
        <f>G4 + G5</f>
        <v/>
      </c>
      <c r="H6" s="8">
        <f>H4 + H5</f>
        <v/>
      </c>
      <c r="I6" s="8">
        <f>I4 + I5</f>
        <v/>
      </c>
      <c r="J6" s="8">
        <f>J4 + J5</f>
        <v/>
      </c>
      <c r="K6" s="8">
        <f>K4 + K5</f>
        <v/>
      </c>
    </row>
    <row r="8">
      <c r="A8" s="5" t="inlineStr">
        <is>
          <t>Exit Valuation (Year 10)</t>
        </is>
      </c>
    </row>
    <row r="9">
      <c r="A9" t="inlineStr">
        <is>
          <t>Exit NOI (Forward)</t>
        </is>
      </c>
      <c r="B9" s="6">
        <f>K4*(1+Rent_Growth)</f>
        <v/>
      </c>
    </row>
    <row r="10">
      <c r="A10" t="inlineStr">
        <is>
          <t>Exit Value</t>
        </is>
      </c>
      <c r="B10" s="6">
        <f>B9/Exit_Yield</f>
        <v/>
      </c>
    </row>
    <row r="11">
      <c r="A11" t="inlineStr">
        <is>
          <t>Loan Repayment</t>
        </is>
      </c>
      <c r="B11" s="6">
        <f>-Loan_Amount</f>
        <v/>
      </c>
    </row>
    <row r="12">
      <c r="A12" t="inlineStr">
        <is>
          <t>Net Sale Proceeds</t>
        </is>
      </c>
      <c r="B12" s="8">
        <f>SUM(B10:B11)</f>
        <v/>
      </c>
    </row>
    <row r="14">
      <c r="A14" s="5" t="inlineStr">
        <is>
          <t>Levered Cash Flow Stream</t>
        </is>
      </c>
      <c r="B14" t="inlineStr">
        <is>
          <t>Year 0</t>
        </is>
      </c>
      <c r="C14" t="inlineStr">
        <is>
          <t>Year 1</t>
        </is>
      </c>
      <c r="D14" t="inlineStr">
        <is>
          <t>Year 2</t>
        </is>
      </c>
      <c r="E14" t="inlineStr">
        <is>
          <t>Year 3</t>
        </is>
      </c>
      <c r="F14" t="inlineStr">
        <is>
          <t>Year 4</t>
        </is>
      </c>
      <c r="G14" t="inlineStr">
        <is>
          <t>Year 5</t>
        </is>
      </c>
      <c r="H14" t="inlineStr">
        <is>
          <t>Year 6</t>
        </is>
      </c>
      <c r="I14" t="inlineStr">
        <is>
          <t>Year 7</t>
        </is>
      </c>
      <c r="J14" t="inlineStr">
        <is>
          <t>Year 8</t>
        </is>
      </c>
      <c r="K14" t="inlineStr">
        <is>
          <t>Year 9</t>
        </is>
      </c>
      <c r="L14" t="inlineStr">
        <is>
          <t>Year 10</t>
        </is>
      </c>
    </row>
    <row r="15">
      <c r="B15" s="6">
        <f>-Equity_Invested</f>
        <v/>
      </c>
      <c r="C15" s="6">
        <f>B6</f>
        <v/>
      </c>
      <c r="D15" s="6">
        <f>C6</f>
        <v/>
      </c>
      <c r="E15" s="6">
        <f>D6</f>
        <v/>
      </c>
      <c r="F15" s="6">
        <f>E6</f>
        <v/>
      </c>
      <c r="G15" s="6">
        <f>F6</f>
        <v/>
      </c>
      <c r="H15" s="6">
        <f>G6</f>
        <v/>
      </c>
      <c r="I15" s="6">
        <f>H6</f>
        <v/>
      </c>
      <c r="J15" s="6">
        <f>I6</f>
        <v/>
      </c>
      <c r="K15" s="6">
        <f>J6</f>
        <v/>
      </c>
      <c r="L15" s="6">
        <f>K6 + B12</f>
        <v/>
      </c>
    </row>
    <row r="17">
      <c r="A17" s="5" t="inlineStr">
        <is>
          <t>Returns Metrics</t>
        </is>
      </c>
    </row>
    <row r="18">
      <c r="A18" t="inlineStr">
        <is>
          <t>Levered IRR</t>
        </is>
      </c>
      <c r="B18" s="9">
        <f>IRR(B15:L15)</f>
        <v/>
      </c>
    </row>
    <row r="19">
      <c r="A19" t="inlineStr">
        <is>
          <t>Equity Multiple</t>
        </is>
      </c>
      <c r="B19" s="11">
        <f>(SUM(C15:L15) + ABS(B15)) / ABS(B15)</f>
        <v/>
      </c>
    </row>
    <row r="20">
      <c r="A20" t="inlineStr">
        <is>
          <t>Yield on Cost</t>
        </is>
      </c>
      <c r="B20" s="9">
        <f>B4/(Purchase_Price+Capex)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34" sqref="A34"/>
    </sheetView>
  </sheetViews>
  <sheetFormatPr baseColWidth="8" defaultRowHeight="14.4"/>
  <cols>
    <col width="30" customWidth="1" min="1" max="1"/>
    <col width="15" customWidth="1" min="2" max="5"/>
    <col width="20" customWidth="1" min="6" max="6"/>
    <col width="15" customWidth="1" min="7" max="7"/>
  </cols>
  <sheetData>
    <row r="1">
      <c r="A1" s="1" t="inlineStr">
        <is>
          <t>Tenant Name</t>
        </is>
      </c>
      <c r="B1" s="1" t="inlineStr">
        <is>
          <t>Unit</t>
        </is>
      </c>
      <c r="C1" s="1" t="inlineStr">
        <is>
          <t>Area (sqm)</t>
        </is>
      </c>
      <c r="D1" s="1" t="inlineStr">
        <is>
          <t>Lease Start</t>
        </is>
      </c>
      <c r="E1" s="1" t="inlineStr">
        <is>
          <t>Lease End</t>
        </is>
      </c>
      <c r="F1" s="1" t="inlineStr">
        <is>
          <t>Annual Rent (EUR)</t>
        </is>
      </c>
      <c r="G1" s="1" t="inlineStr">
        <is>
          <t>Rent/sqm/yr</t>
        </is>
      </c>
    </row>
    <row r="2">
      <c r="A2" t="inlineStr">
        <is>
          <t>Ingram Micro (UK) Limited</t>
        </is>
      </c>
      <c r="B2" t="inlineStr">
        <is>
          <t>Unit 1</t>
        </is>
      </c>
      <c r="C2" t="n">
        <v>222221</v>
      </c>
      <c r="D2" t="inlineStr">
        <is>
          <t>2015-06-01</t>
        </is>
      </c>
      <c r="E2" t="inlineStr">
        <is>
          <t>2020-05-31</t>
        </is>
      </c>
      <c r="F2" t="n">
        <v>1222215.5</v>
      </c>
      <c r="G2" t="n">
        <v>5.5</v>
      </c>
    </row>
    <row r="3">
      <c r="A3" t="inlineStr">
        <is>
          <t>CNH Industrial N.V.</t>
        </is>
      </c>
      <c r="B3" t="inlineStr">
        <is>
          <t>Unit 2</t>
        </is>
      </c>
      <c r="C3" t="n">
        <v>90998</v>
      </c>
      <c r="D3" t="inlineStr">
        <is>
          <t>2002-11-19</t>
        </is>
      </c>
      <c r="E3" t="inlineStr">
        <is>
          <t>2021-10-22</t>
        </is>
      </c>
      <c r="F3" t="n">
        <v>409491</v>
      </c>
      <c r="G3" t="n">
        <v>4.5</v>
      </c>
    </row>
    <row r="4">
      <c r="A4" t="inlineStr">
        <is>
          <t>Global Supply Chain</t>
        </is>
      </c>
      <c r="B4" t="inlineStr">
        <is>
          <t>Unit 3</t>
        </is>
      </c>
      <c r="C4" t="n">
        <v>2000</v>
      </c>
      <c r="D4" t="inlineStr">
        <is>
          <t>2022-01-01</t>
        </is>
      </c>
      <c r="E4" t="inlineStr">
        <is>
          <t>2027-12-31</t>
        </is>
      </c>
      <c r="F4" t="n">
        <v>160000</v>
      </c>
      <c r="G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2025-12-14T12:13:26Z</dcterms:created>
  <dcterms:modified xmlns:dcterms="http://purl.org/dc/terms/" xmlns:xsi="http://www.w3.org/2001/XMLSchema-instance" xsi:type="dcterms:W3CDTF">2026-01-21T11:38:44Z</dcterms:modified>
  <cp:lastModifiedBy>Jianping Huang</cp:lastModifiedBy>
</cp:coreProperties>
</file>